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Tax Invoice" sheetId="1" r:id="rId1"/>
    <sheet name="Sheet1" sheetId="2" state="hidden" r:id="rId2"/>
  </sheets>
  <definedNames>
    <definedName name="_xlnm.Print_Area" localSheetId="0">'Tax Invoice'!$A$1:$H$41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7" i="1" l="1"/>
  <c r="H26" i="1"/>
  <c r="H25" i="1"/>
  <c r="H24" i="1"/>
  <c r="H23" i="1"/>
  <c r="H22" i="1"/>
  <c r="H21" i="1"/>
  <c r="H20" i="1"/>
  <c r="H19" i="1"/>
  <c r="H18" i="1"/>
  <c r="H17" i="1"/>
  <c r="H28" i="1" s="1"/>
  <c r="H34" i="1" l="1"/>
  <c r="H32" i="1"/>
  <c r="H30" i="1"/>
  <c r="H35" i="1" s="1"/>
  <c r="B2" i="2" s="1"/>
  <c r="B3" i="2" l="1"/>
  <c r="B6" i="2" l="1"/>
  <c r="C6" i="2" s="1"/>
  <c r="B7" i="2"/>
  <c r="B4" i="2"/>
  <c r="C4" i="2" s="1"/>
  <c r="B9" i="2" l="1"/>
  <c r="B8" i="2"/>
  <c r="C8" i="2" s="1"/>
  <c r="B11" i="2" l="1"/>
  <c r="C11" i="2" s="1"/>
  <c r="B10" i="2"/>
  <c r="C10" i="2" s="1"/>
  <c r="B13" i="2" s="1"/>
  <c r="C37" i="1" s="1"/>
</calcChain>
</file>

<file path=xl/sharedStrings.xml><?xml version="1.0" encoding="utf-8"?>
<sst xmlns="http://schemas.openxmlformats.org/spreadsheetml/2006/main" count="61" uniqueCount="58">
  <si>
    <t>GST TAX INVOICE</t>
  </si>
  <si>
    <t>Seller (Consignor)</t>
  </si>
  <si>
    <t>Invoice No.</t>
  </si>
  <si>
    <t>Vishwakarma Market, Ward No. 14, OKAYA BAJAJ sales, sattu colony sardarshahar</t>
  </si>
  <si>
    <t>Invoice Date</t>
  </si>
  <si>
    <t>27-08-2026</t>
  </si>
  <si>
    <t>Sardarshahar (Churu) 331403</t>
  </si>
  <si>
    <t>Delivery Note</t>
  </si>
  <si>
    <t>-</t>
  </si>
  <si>
    <t>GSTIN/UIN: 08CXQPR2004C1ZL</t>
  </si>
  <si>
    <t>Mode/Terms of Payment</t>
  </si>
  <si>
    <t>State: Rajasthan   |   State Code: 08</t>
  </si>
  <si>
    <t>Vehicle No.</t>
  </si>
  <si>
    <t>RJ14GQ5114</t>
  </si>
  <si>
    <t>Buyer (Bill To)</t>
  </si>
  <si>
    <t>Buyer's Order No.</t>
  </si>
  <si>
    <t>Kirori Mal Pramod Kumar</t>
  </si>
  <si>
    <t>Dispatch Doc No.</t>
  </si>
  <si>
    <t>144 Gadodia Market</t>
  </si>
  <si>
    <t>Destination</t>
  </si>
  <si>
    <t>DELHI</t>
  </si>
  <si>
    <t>Khari Baoili, Delhi</t>
  </si>
  <si>
    <t>Terms of Delivery</t>
  </si>
  <si>
    <t>As agreed</t>
  </si>
  <si>
    <t>GSTIN/UIN: 07AAEPR2763D1ZS</t>
  </si>
  <si>
    <t>Sl.
No.</t>
  </si>
  <si>
    <t>Description of Goods</t>
  </si>
  <si>
    <t>HSN/
SAC</t>
  </si>
  <si>
    <t>Qty
(Qtl.)</t>
  </si>
  <si>
    <t>Rate (₹)</t>
  </si>
  <si>
    <t>Amount (₹)</t>
  </si>
  <si>
    <t>METHI (460 Bags)</t>
  </si>
  <si>
    <t>Total Qty / Taxable Value</t>
  </si>
  <si>
    <t>IGST @</t>
  </si>
  <si>
    <t>IGST Amount</t>
  </si>
  <si>
    <t>CGST @</t>
  </si>
  <si>
    <t>CGST Amount</t>
  </si>
  <si>
    <t>SGST @</t>
  </si>
  <si>
    <t>SGST Amount</t>
  </si>
  <si>
    <t>E. &amp; O.E.</t>
  </si>
  <si>
    <t>GRAND TOTAL</t>
  </si>
  <si>
    <t>Amount Chargeable
(in words)</t>
  </si>
  <si>
    <t>Declaration: We declare that this invoice shows the actual price of the goods described and that all particulars are true and correct.</t>
  </si>
  <si>
    <t>This is a computer-generated invoice.</t>
  </si>
  <si>
    <t>Authorised Signatory</t>
  </si>
  <si>
    <t>Amount in Words Helper (do not edit)</t>
  </si>
  <si>
    <t>Grand Total</t>
  </si>
  <si>
    <t>Rupees</t>
  </si>
  <si>
    <t>Paise</t>
  </si>
  <si>
    <t>Crore</t>
  </si>
  <si>
    <t>Rem1</t>
  </si>
  <si>
    <t>Lakh</t>
  </si>
  <si>
    <t>Rem2</t>
  </si>
  <si>
    <t>Thousand</t>
  </si>
  <si>
    <t>Rem3 (0-999)</t>
  </si>
  <si>
    <t>Amount in Words</t>
  </si>
  <si>
    <t>Hanuman Trading Company</t>
  </si>
  <si>
    <t>For Hanuman Trading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</si>
</sst>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;\-#,##0.00;&quot;&quot;"/>
    <numFmt numFmtId="165" formatCode="&quot;₹ &quot;#,##0.00"/>
  </numFmts>
  <fonts count="11" x14ac:knownFonts="1">
    <font>
      <sz val="11"/>
      <color theme="1"/>
      <name val="Calibri"/>
      <family val="2"/>
      <charset val="1"/>
    </font>
    <font>
      <b/>
      <sz val="17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1F3864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595959"/>
      <name val="Arial"/>
      <charset val="1"/>
    </font>
    <font>
      <b/>
      <sz val="9"/>
      <color rgb="FF7F6000"/>
      <name val="Arial"/>
      <charset val="1"/>
    </font>
    <font>
      <i/>
      <sz val="7.5"/>
      <color rgb="FF595959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B"/>
        <bgColor rgb="FFFFFFFF"/>
      </patternFill>
    </fill>
    <fill>
      <patternFill patternType="solid">
        <fgColor rgb="FFFFFFFF"/>
        <bgColor rgb="FFF2F5FB"/>
      </patternFill>
    </fill>
    <fill>
      <patternFill patternType="solid">
        <fgColor rgb="FFD9E2F3"/>
        <bgColor rgb="FFF2F5FB"/>
      </patternFill>
    </fill>
    <fill>
      <patternFill patternType="solid">
        <fgColor rgb="FFFFF2CC"/>
        <bgColor rgb="FFF2F5FB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8" fillId="4" borderId="2" xfId="0" applyFont="1" applyFill="1" applyBorder="1" applyAlignment="1">
      <alignment horizontal="left" vertical="top" wrapText="1"/>
    </xf>
    <xf numFmtId="0" fontId="7" fillId="6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righ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4" fontId="4" fillId="6" borderId="2" xfId="0" applyNumberFormat="1" applyFont="1" applyFill="1" applyBorder="1" applyAlignment="1">
      <alignment horizontal="right" vertical="center" wrapText="1"/>
    </xf>
    <xf numFmtId="4" fontId="4" fillId="4" borderId="2" xfId="0" applyNumberFormat="1" applyFont="1" applyFill="1" applyBorder="1" applyAlignment="1">
      <alignment horizontal="right" vertical="center" wrapText="1"/>
    </xf>
    <xf numFmtId="0" fontId="4" fillId="4" borderId="2" xfId="0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right" vertical="center" wrapText="1"/>
    </xf>
    <xf numFmtId="4" fontId="5" fillId="3" borderId="2" xfId="0" applyNumberFormat="1" applyFont="1" applyFill="1" applyBorder="1" applyAlignment="1">
      <alignment horizontal="right" vertical="center" wrapText="1"/>
    </xf>
    <xf numFmtId="10" fontId="7" fillId="6" borderId="2" xfId="0" applyNumberFormat="1" applyFont="1" applyFill="1" applyBorder="1" applyAlignment="1">
      <alignment horizontal="right" vertical="center" wrapText="1"/>
    </xf>
    <xf numFmtId="165" fontId="9" fillId="2" borderId="1" xfId="0" applyNumberFormat="1" applyFont="1" applyFill="1" applyBorder="1" applyAlignment="1">
      <alignment horizontal="right" vertical="center" wrapText="1"/>
    </xf>
    <xf numFmtId="0" fontId="5" fillId="0" borderId="0" xfId="0" applyFont="1" applyAlignment="1"/>
    <xf numFmtId="0" fontId="10" fillId="0" borderId="0" xfId="0" applyFont="1" applyAlignment="1"/>
    <xf numFmtId="165" fontId="10" fillId="0" borderId="0" xfId="0" applyNumberFormat="1" applyFont="1" applyAlignme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/>
    </xf>
    <xf numFmtId="0" fontId="8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1"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F2F5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EA9C1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showGridLines="0" tabSelected="1" zoomScaleNormal="100" workbookViewId="0">
      <selection activeCell="E41" sqref="E41:H41"/>
    </sheetView>
  </sheetViews>
  <sheetFormatPr defaultColWidth="8.6328125" defaultRowHeight="14.5" x14ac:dyDescent="0.35"/>
  <cols>
    <col min="1" max="1" width="5.54296875" style="15" customWidth="1"/>
    <col min="2" max="2" width="15" style="15" customWidth="1"/>
    <col min="3" max="4" width="10" style="15" customWidth="1"/>
    <col min="5" max="5" width="11" style="15" customWidth="1"/>
    <col min="6" max="6" width="8" style="15" customWidth="1"/>
    <col min="7" max="7" width="10" style="15" customWidth="1"/>
    <col min="8" max="8" width="13" style="15" customWidth="1"/>
  </cols>
  <sheetData>
    <row r="1" spans="1:8" ht="33.75" customHeight="1" x14ac:dyDescent="0.35">
      <c r="A1" s="14" t="s">
        <v>56</v>
      </c>
      <c r="B1" s="14"/>
      <c r="C1" s="14"/>
      <c r="D1" s="14"/>
      <c r="E1" s="14"/>
      <c r="F1" s="14"/>
      <c r="G1" s="14"/>
      <c r="H1" s="14"/>
    </row>
    <row r="2" spans="1:8" ht="13.5" customHeight="1" x14ac:dyDescent="0.35">
      <c r="A2" s="13" t="s">
        <v>0</v>
      </c>
      <c r="B2" s="13"/>
      <c r="C2" s="13"/>
      <c r="D2" s="13"/>
      <c r="E2" s="13"/>
      <c r="F2" s="13"/>
      <c r="G2" s="13"/>
      <c r="H2" s="13"/>
    </row>
    <row r="3" spans="1:8" ht="3.75" customHeight="1" x14ac:dyDescent="0.35"/>
    <row r="4" spans="1:8" ht="18" customHeight="1" x14ac:dyDescent="0.35">
      <c r="A4" s="12" t="s">
        <v>1</v>
      </c>
      <c r="B4" s="12"/>
      <c r="C4" s="12"/>
      <c r="D4" s="12"/>
      <c r="E4" s="12" t="s">
        <v>2</v>
      </c>
      <c r="F4" s="12"/>
      <c r="G4" s="11">
        <v>19</v>
      </c>
      <c r="H4" s="11"/>
    </row>
    <row r="5" spans="1:8" ht="25.5" customHeight="1" x14ac:dyDescent="0.35">
      <c r="A5" s="11" t="s">
        <v>3</v>
      </c>
      <c r="B5" s="11"/>
      <c r="C5" s="11"/>
      <c r="D5" s="11"/>
      <c r="E5" s="12" t="s">
        <v>4</v>
      </c>
      <c r="F5" s="12"/>
      <c r="G5" s="11" t="s">
        <v>5</v>
      </c>
      <c r="H5" s="11"/>
    </row>
    <row r="6" spans="1:8" ht="18" customHeight="1" x14ac:dyDescent="0.35">
      <c r="A6" s="11" t="s">
        <v>6</v>
      </c>
      <c r="B6" s="11"/>
      <c r="C6" s="11"/>
      <c r="D6" s="11"/>
      <c r="E6" s="12" t="s">
        <v>7</v>
      </c>
      <c r="F6" s="12"/>
      <c r="G6" s="11" t="s">
        <v>8</v>
      </c>
      <c r="H6" s="11"/>
    </row>
    <row r="7" spans="1:8" ht="18" customHeight="1" x14ac:dyDescent="0.35">
      <c r="A7" s="11" t="s">
        <v>9</v>
      </c>
      <c r="B7" s="11"/>
      <c r="C7" s="11"/>
      <c r="D7" s="11"/>
      <c r="E7" s="12" t="s">
        <v>10</v>
      </c>
      <c r="F7" s="12"/>
      <c r="G7" s="11" t="s">
        <v>8</v>
      </c>
      <c r="H7" s="11"/>
    </row>
    <row r="8" spans="1:8" ht="18" customHeight="1" x14ac:dyDescent="0.35">
      <c r="A8" s="11" t="s">
        <v>11</v>
      </c>
      <c r="B8" s="11"/>
      <c r="C8" s="11"/>
      <c r="D8" s="11"/>
      <c r="E8" s="12" t="s">
        <v>12</v>
      </c>
      <c r="F8" s="12"/>
      <c r="G8" s="11" t="s">
        <v>13</v>
      </c>
      <c r="H8" s="11"/>
    </row>
    <row r="9" spans="1:8" ht="3.75" customHeight="1" x14ac:dyDescent="0.35"/>
    <row r="10" spans="1:8" ht="18" customHeight="1" x14ac:dyDescent="0.35">
      <c r="A10" s="12" t="s">
        <v>14</v>
      </c>
      <c r="B10" s="12"/>
      <c r="C10" s="12"/>
      <c r="D10" s="12"/>
      <c r="E10" s="12" t="s">
        <v>15</v>
      </c>
      <c r="F10" s="12"/>
      <c r="G10" s="11" t="s">
        <v>8</v>
      </c>
      <c r="H10" s="11"/>
    </row>
    <row r="11" spans="1:8" ht="18" customHeight="1" x14ac:dyDescent="0.35">
      <c r="A11" s="11" t="s">
        <v>16</v>
      </c>
      <c r="B11" s="11"/>
      <c r="C11" s="11"/>
      <c r="D11" s="11"/>
      <c r="E11" s="12" t="s">
        <v>17</v>
      </c>
      <c r="F11" s="12"/>
      <c r="G11" s="11" t="s">
        <v>8</v>
      </c>
      <c r="H11" s="11"/>
    </row>
    <row r="12" spans="1:8" ht="18" customHeight="1" x14ac:dyDescent="0.35">
      <c r="A12" s="11" t="s">
        <v>18</v>
      </c>
      <c r="B12" s="11"/>
      <c r="C12" s="11"/>
      <c r="D12" s="11"/>
      <c r="E12" s="12" t="s">
        <v>19</v>
      </c>
      <c r="F12" s="12"/>
      <c r="G12" s="11" t="s">
        <v>20</v>
      </c>
      <c r="H12" s="11"/>
    </row>
    <row r="13" spans="1:8" ht="18" customHeight="1" x14ac:dyDescent="0.35">
      <c r="A13" s="11" t="s">
        <v>21</v>
      </c>
      <c r="B13" s="11"/>
      <c r="C13" s="11"/>
      <c r="D13" s="11"/>
      <c r="E13" s="12" t="s">
        <v>22</v>
      </c>
      <c r="F13" s="12"/>
      <c r="G13" s="11" t="s">
        <v>23</v>
      </c>
      <c r="H13" s="11"/>
    </row>
    <row r="14" spans="1:8" ht="18" customHeight="1" x14ac:dyDescent="0.35">
      <c r="A14" s="11" t="s">
        <v>24</v>
      </c>
      <c r="B14" s="11"/>
      <c r="C14" s="11"/>
      <c r="D14" s="11"/>
      <c r="E14" s="11"/>
      <c r="F14" s="11"/>
      <c r="G14" s="11"/>
      <c r="H14" s="11"/>
    </row>
    <row r="15" spans="1:8" ht="3.75" customHeight="1" x14ac:dyDescent="0.35"/>
    <row r="16" spans="1:8" ht="24" customHeight="1" x14ac:dyDescent="0.35">
      <c r="A16" s="16" t="s">
        <v>25</v>
      </c>
      <c r="B16" s="10" t="s">
        <v>26</v>
      </c>
      <c r="C16" s="10"/>
      <c r="D16" s="10"/>
      <c r="E16" s="16" t="s">
        <v>27</v>
      </c>
      <c r="F16" s="16" t="s">
        <v>28</v>
      </c>
      <c r="G16" s="16" t="s">
        <v>29</v>
      </c>
      <c r="H16" s="16" t="s">
        <v>30</v>
      </c>
    </row>
    <row r="17" spans="1:8" ht="16.5" customHeight="1" x14ac:dyDescent="0.35">
      <c r="A17" s="17">
        <v>1</v>
      </c>
      <c r="B17" s="9" t="s">
        <v>31</v>
      </c>
      <c r="C17" s="9"/>
      <c r="D17" s="9"/>
      <c r="E17" s="17">
        <v>910</v>
      </c>
      <c r="F17" s="17">
        <v>230</v>
      </c>
      <c r="G17" s="18">
        <v>4000</v>
      </c>
      <c r="H17" s="19">
        <f>F17*G17</f>
        <v>920000</v>
      </c>
    </row>
    <row r="18" spans="1:8" ht="16.5" customHeight="1" x14ac:dyDescent="0.35">
      <c r="A18" s="20"/>
      <c r="B18" s="11"/>
      <c r="C18" s="11"/>
      <c r="D18" s="11"/>
      <c r="E18" s="20"/>
      <c r="F18" s="20"/>
      <c r="G18" s="19"/>
      <c r="H18" s="21" t="str">
        <f t="shared" ref="H18:H27" si="0">IF(AND(F18="",G18=""),"",F18*G18)</f>
        <v/>
      </c>
    </row>
    <row r="19" spans="1:8" ht="16.5" customHeight="1" x14ac:dyDescent="0.35">
      <c r="A19" s="20"/>
      <c r="B19" s="11"/>
      <c r="C19" s="11"/>
      <c r="D19" s="11"/>
      <c r="E19" s="20"/>
      <c r="F19" s="20"/>
      <c r="G19" s="19"/>
      <c r="H19" s="21" t="str">
        <f t="shared" si="0"/>
        <v/>
      </c>
    </row>
    <row r="20" spans="1:8" ht="16.5" customHeight="1" x14ac:dyDescent="0.35">
      <c r="A20" s="20"/>
      <c r="B20" s="11"/>
      <c r="C20" s="11"/>
      <c r="D20" s="11"/>
      <c r="E20" s="20"/>
      <c r="F20" s="20"/>
      <c r="G20" s="19"/>
      <c r="H20" s="21" t="str">
        <f t="shared" si="0"/>
        <v/>
      </c>
    </row>
    <row r="21" spans="1:8" ht="16.5" customHeight="1" x14ac:dyDescent="0.35">
      <c r="A21" s="20"/>
      <c r="B21" s="11"/>
      <c r="C21" s="11"/>
      <c r="D21" s="11"/>
      <c r="E21" s="20"/>
      <c r="F21" s="20"/>
      <c r="G21" s="19"/>
      <c r="H21" s="21" t="str">
        <f t="shared" si="0"/>
        <v/>
      </c>
    </row>
    <row r="22" spans="1:8" ht="16.5" customHeight="1" x14ac:dyDescent="0.35">
      <c r="A22" s="20"/>
      <c r="B22" s="11"/>
      <c r="C22" s="11"/>
      <c r="D22" s="11"/>
      <c r="E22" s="20"/>
      <c r="F22" s="20"/>
      <c r="G22" s="19"/>
      <c r="H22" s="21" t="str">
        <f t="shared" si="0"/>
        <v/>
      </c>
    </row>
    <row r="23" spans="1:8" ht="16.5" customHeight="1" x14ac:dyDescent="0.35">
      <c r="A23" s="20"/>
      <c r="B23" s="11"/>
      <c r="C23" s="11"/>
      <c r="D23" s="11"/>
      <c r="E23" s="20"/>
      <c r="F23" s="20"/>
      <c r="G23" s="19"/>
      <c r="H23" s="21" t="str">
        <f t="shared" si="0"/>
        <v/>
      </c>
    </row>
    <row r="24" spans="1:8" ht="16.5" customHeight="1" x14ac:dyDescent="0.35">
      <c r="A24" s="20"/>
      <c r="B24" s="11"/>
      <c r="C24" s="11"/>
      <c r="D24" s="11"/>
      <c r="E24" s="20"/>
      <c r="F24" s="20"/>
      <c r="G24" s="19"/>
      <c r="H24" s="21" t="str">
        <f t="shared" si="0"/>
        <v/>
      </c>
    </row>
    <row r="25" spans="1:8" ht="16.5" customHeight="1" x14ac:dyDescent="0.35">
      <c r="A25" s="20"/>
      <c r="B25" s="11"/>
      <c r="C25" s="11"/>
      <c r="D25" s="11"/>
      <c r="E25" s="20"/>
      <c r="F25" s="20"/>
      <c r="G25" s="19"/>
      <c r="H25" s="21" t="str">
        <f t="shared" si="0"/>
        <v/>
      </c>
    </row>
    <row r="26" spans="1:8" ht="16.5" customHeight="1" x14ac:dyDescent="0.35">
      <c r="A26" s="20"/>
      <c r="B26" s="11"/>
      <c r="C26" s="11"/>
      <c r="D26" s="11"/>
      <c r="E26" s="20"/>
      <c r="F26" s="20"/>
      <c r="G26" s="19"/>
      <c r="H26" s="21" t="str">
        <f t="shared" si="0"/>
        <v/>
      </c>
    </row>
    <row r="27" spans="1:8" ht="16.5" customHeight="1" x14ac:dyDescent="0.35">
      <c r="A27" s="20"/>
      <c r="B27" s="11"/>
      <c r="C27" s="11"/>
      <c r="D27" s="11"/>
      <c r="E27" s="20"/>
      <c r="F27" s="20"/>
      <c r="G27" s="19"/>
      <c r="H27" s="21" t="str">
        <f t="shared" si="0"/>
        <v/>
      </c>
    </row>
    <row r="28" spans="1:8" ht="24" customHeight="1" x14ac:dyDescent="0.35">
      <c r="A28" s="11"/>
      <c r="B28" s="11"/>
      <c r="C28" s="11"/>
      <c r="D28" s="11"/>
      <c r="E28" s="11"/>
      <c r="F28" s="8" t="s">
        <v>32</v>
      </c>
      <c r="G28" s="8"/>
      <c r="H28" s="22">
        <f>SUM(H17:H27)</f>
        <v>920000</v>
      </c>
    </row>
    <row r="29" spans="1:8" ht="15" customHeight="1" x14ac:dyDescent="0.35">
      <c r="A29" s="7"/>
      <c r="B29" s="7"/>
      <c r="C29" s="7"/>
      <c r="D29" s="7"/>
      <c r="E29" s="7"/>
      <c r="F29" s="6" t="s">
        <v>33</v>
      </c>
      <c r="G29" s="6"/>
      <c r="H29" s="23">
        <v>0.05</v>
      </c>
    </row>
    <row r="30" spans="1:8" ht="15" customHeight="1" x14ac:dyDescent="0.35">
      <c r="A30" s="11"/>
      <c r="B30" s="11"/>
      <c r="C30" s="11"/>
      <c r="D30" s="11"/>
      <c r="E30" s="11"/>
      <c r="F30" s="6" t="s">
        <v>34</v>
      </c>
      <c r="G30" s="6"/>
      <c r="H30" s="19">
        <f>H28*H29</f>
        <v>46000</v>
      </c>
    </row>
    <row r="31" spans="1:8" ht="15" customHeight="1" x14ac:dyDescent="0.35">
      <c r="A31" s="7"/>
      <c r="B31" s="7"/>
      <c r="C31" s="7"/>
      <c r="D31" s="7"/>
      <c r="E31" s="7"/>
      <c r="F31" s="6" t="s">
        <v>35</v>
      </c>
      <c r="G31" s="6"/>
      <c r="H31" s="23">
        <v>0</v>
      </c>
    </row>
    <row r="32" spans="1:8" ht="15" customHeight="1" x14ac:dyDescent="0.35">
      <c r="A32" s="7"/>
      <c r="B32" s="7"/>
      <c r="C32" s="7"/>
      <c r="D32" s="7"/>
      <c r="E32" s="7"/>
      <c r="F32" s="6" t="s">
        <v>36</v>
      </c>
      <c r="G32" s="6"/>
      <c r="H32" s="19">
        <f>H28*H31</f>
        <v>0</v>
      </c>
    </row>
    <row r="33" spans="1:8" ht="15" customHeight="1" x14ac:dyDescent="0.35">
      <c r="A33" s="7"/>
      <c r="B33" s="7"/>
      <c r="C33" s="7"/>
      <c r="D33" s="7"/>
      <c r="E33" s="7"/>
      <c r="F33" s="6" t="s">
        <v>37</v>
      </c>
      <c r="G33" s="6"/>
      <c r="H33" s="23">
        <v>0</v>
      </c>
    </row>
    <row r="34" spans="1:8" ht="15" customHeight="1" x14ac:dyDescent="0.35">
      <c r="A34" s="11"/>
      <c r="B34" s="11"/>
      <c r="C34" s="11"/>
      <c r="D34" s="11"/>
      <c r="E34" s="11"/>
      <c r="F34" s="6" t="s">
        <v>38</v>
      </c>
      <c r="G34" s="6"/>
      <c r="H34" s="19">
        <f>H28*H33</f>
        <v>0</v>
      </c>
    </row>
    <row r="35" spans="1:8" ht="18" customHeight="1" x14ac:dyDescent="0.35">
      <c r="A35" s="5" t="s">
        <v>39</v>
      </c>
      <c r="B35" s="5"/>
      <c r="C35" s="5"/>
      <c r="D35" s="5"/>
      <c r="E35" s="5"/>
      <c r="F35" s="4" t="s">
        <v>40</v>
      </c>
      <c r="G35" s="4"/>
      <c r="H35" s="24">
        <f>H28+H30+H32+H34</f>
        <v>966000</v>
      </c>
    </row>
    <row r="36" spans="1:8" ht="3.75" customHeight="1" x14ac:dyDescent="0.35"/>
    <row r="37" spans="1:8" ht="30" customHeight="1" x14ac:dyDescent="0.35">
      <c r="A37" s="3" t="s">
        <v>41</v>
      </c>
      <c r="B37" s="3"/>
      <c r="C37" s="2" t="str">
        <f>Sheet1!B13</f>
        <v>Nine Lakh Sixty Six Thousand Rupees Only</v>
      </c>
      <c r="D37" s="2"/>
      <c r="E37" s="2"/>
      <c r="F37" s="2"/>
      <c r="G37" s="2"/>
      <c r="H37" s="2"/>
    </row>
    <row r="38" spans="1:8" ht="25.5" customHeight="1" x14ac:dyDescent="0.35"/>
    <row r="40" spans="1:8" ht="25.5" customHeight="1" x14ac:dyDescent="0.35">
      <c r="A40" s="1" t="s">
        <v>42</v>
      </c>
      <c r="B40" s="1"/>
      <c r="C40" s="1"/>
      <c r="D40" s="1"/>
      <c r="E40" s="28" t="s">
        <v>57</v>
      </c>
      <c r="F40" s="28"/>
      <c r="G40" s="28"/>
      <c r="H40" s="28"/>
    </row>
    <row r="41" spans="1:8" ht="15" customHeight="1" x14ac:dyDescent="0.35">
      <c r="A41" s="1" t="s">
        <v>43</v>
      </c>
      <c r="B41" s="1"/>
      <c r="C41" s="1"/>
      <c r="D41" s="1"/>
      <c r="E41" s="29" t="s">
        <v>44</v>
      </c>
      <c r="F41" s="29"/>
      <c r="G41" s="29"/>
      <c r="H41" s="29"/>
    </row>
    <row r="43" spans="1:8" ht="14.25" customHeight="1" x14ac:dyDescent="0.35">
      <c r="A43" s="25"/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</sheetData>
  <mergeCells count="66">
    <mergeCell ref="A40:D40"/>
    <mergeCell ref="E40:H40"/>
    <mergeCell ref="A41:D41"/>
    <mergeCell ref="E41:H41"/>
    <mergeCell ref="A44:H44"/>
    <mergeCell ref="A34:E34"/>
    <mergeCell ref="F34:G34"/>
    <mergeCell ref="A35:E35"/>
    <mergeCell ref="F35:G35"/>
    <mergeCell ref="A37:B37"/>
    <mergeCell ref="C37:H37"/>
    <mergeCell ref="A31:E31"/>
    <mergeCell ref="F31:G31"/>
    <mergeCell ref="A32:E32"/>
    <mergeCell ref="F32:G32"/>
    <mergeCell ref="A33:E33"/>
    <mergeCell ref="F33:G33"/>
    <mergeCell ref="F28:G28"/>
    <mergeCell ref="A29:E29"/>
    <mergeCell ref="F29:G29"/>
    <mergeCell ref="A30:E30"/>
    <mergeCell ref="F30:G30"/>
    <mergeCell ref="B24:D24"/>
    <mergeCell ref="B25:D25"/>
    <mergeCell ref="B26:D26"/>
    <mergeCell ref="B27:D27"/>
    <mergeCell ref="A28:E28"/>
    <mergeCell ref="B19:D19"/>
    <mergeCell ref="B20:D20"/>
    <mergeCell ref="B21:D21"/>
    <mergeCell ref="B22:D22"/>
    <mergeCell ref="B23:D23"/>
    <mergeCell ref="A14:D14"/>
    <mergeCell ref="E14:H14"/>
    <mergeCell ref="B16:D16"/>
    <mergeCell ref="B17:D17"/>
    <mergeCell ref="B18:D18"/>
    <mergeCell ref="A12:D12"/>
    <mergeCell ref="E12:F12"/>
    <mergeCell ref="G12:H12"/>
    <mergeCell ref="A13:D13"/>
    <mergeCell ref="E13:F13"/>
    <mergeCell ref="G13:H13"/>
    <mergeCell ref="A10:D10"/>
    <mergeCell ref="E10:F10"/>
    <mergeCell ref="G10:H10"/>
    <mergeCell ref="A11:D11"/>
    <mergeCell ref="E11:F11"/>
    <mergeCell ref="G11:H11"/>
    <mergeCell ref="A7:D7"/>
    <mergeCell ref="E7:F7"/>
    <mergeCell ref="G7:H7"/>
    <mergeCell ref="A8:D8"/>
    <mergeCell ref="E8:F8"/>
    <mergeCell ref="G8:H8"/>
    <mergeCell ref="A5:D5"/>
    <mergeCell ref="E5:F5"/>
    <mergeCell ref="G5:H5"/>
    <mergeCell ref="A6:D6"/>
    <mergeCell ref="E6:F6"/>
    <mergeCell ref="G6:H6"/>
    <mergeCell ref="A1:H1"/>
    <mergeCell ref="A2:H2"/>
    <mergeCell ref="A4:D4"/>
    <mergeCell ref="E4:F4"/>
    <mergeCell ref="G4:H4"/>
  </mergeCells>
  <conditionalFormatting sqref="A18:G27">
    <cfRule type="expression" dxfId="0" priority="2">
      <formula>$B18&lt;&gt;""</formula>
    </cfRule>
  </conditionalFormatting>
  <printOptions horizontalCentered="1"/>
  <pageMargins left="0.25" right="0.25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zoomScaleNormal="100" workbookViewId="0"/>
  </sheetViews>
  <sheetFormatPr defaultColWidth="8.6328125" defaultRowHeight="14.5" x14ac:dyDescent="0.35"/>
  <cols>
    <col min="1" max="1" width="22" style="15" customWidth="1"/>
    <col min="2" max="2" width="45" style="15" customWidth="1"/>
    <col min="3" max="3" width="30" style="15" customWidth="1"/>
  </cols>
  <sheetData>
    <row r="1" spans="1:3" ht="14.25" customHeight="1" x14ac:dyDescent="0.35">
      <c r="A1" s="26" t="s">
        <v>45</v>
      </c>
      <c r="B1" s="26"/>
      <c r="C1" s="26"/>
    </row>
    <row r="2" spans="1:3" ht="14.25" customHeight="1" x14ac:dyDescent="0.35">
      <c r="A2" s="26" t="s">
        <v>46</v>
      </c>
      <c r="B2" s="27">
        <f>'Tax Invoice'!H35</f>
        <v>966000</v>
      </c>
      <c r="C2" s="26"/>
    </row>
    <row r="3" spans="1:3" ht="14.25" customHeight="1" x14ac:dyDescent="0.35">
      <c r="A3" s="26" t="s">
        <v>47</v>
      </c>
      <c r="B3" s="26">
        <f>INT(B2)</f>
        <v>966000</v>
      </c>
      <c r="C3" s="26"/>
    </row>
    <row r="4" spans="1:3" ht="14.25" customHeight="1" x14ac:dyDescent="0.35">
      <c r="A4" s="26" t="s">
        <v>48</v>
      </c>
      <c r="B4" s="26">
        <f>ROUND((B2-B3)*100,0)</f>
        <v>0</v>
      </c>
      <c r="C4" s="26" t="str">
        <f>IF(B4=0,"",IF(B4&lt;20,CHOOSE(B4+1,"","One","Two","Three","Four","Five","Six","Seven","Eight","Nine","Ten","Eleven","Twelve","Thirteen","Fourteen","Fifteen","Sixteen","Seventeen","Eighteen","Nineteen"),TRIM(CHOOSE(INT(B4/10)-1,"Twenty","Thirty","Forty","Fifty","Sixty","Seventy","Eighty","Ninety")&amp;" "&amp;CHOOSE(MOD(B4,10)+1,"","One","Two","Three","Four","Five","Six","Seven","Eight","Nine"))))</f>
        <v/>
      </c>
    </row>
    <row r="5" spans="1:3" ht="14.25" customHeight="1" x14ac:dyDescent="0.35">
      <c r="A5" s="26"/>
      <c r="B5" s="26"/>
      <c r="C5" s="26"/>
    </row>
    <row r="6" spans="1:3" ht="14.25" customHeight="1" x14ac:dyDescent="0.35">
      <c r="A6" s="26" t="s">
        <v>49</v>
      </c>
      <c r="B6" s="26">
        <f>INT(B3/10000000)</f>
        <v>0</v>
      </c>
      <c r="C6" s="26" t="str">
        <f>IF(B6=0,"",IF(B6&lt;20,CHOOSE(B6+1,"","One","Two","Three","Four","Five","Six","Seven","Eight","Nine","Ten","Eleven","Twelve","Thirteen","Fourteen","Fifteen","Sixteen","Seventeen","Eighteen","Nineteen"),TRIM(CHOOSE(INT(B6/10)-1,"Twenty","Thirty","Forty","Fifty","Sixty","Seventy","Eighty","Ninety")&amp;" "&amp;CHOOSE(MOD(B6,10)+1,"","One","Two","Three","Four","Five","Six","Seven","Eight","Nine"))))</f>
        <v/>
      </c>
    </row>
    <row r="7" spans="1:3" ht="14.25" customHeight="1" x14ac:dyDescent="0.35">
      <c r="A7" s="26" t="s">
        <v>50</v>
      </c>
      <c r="B7" s="26">
        <f>MOD(B3,10000000)</f>
        <v>966000</v>
      </c>
      <c r="C7" s="26"/>
    </row>
    <row r="8" spans="1:3" ht="14.25" customHeight="1" x14ac:dyDescent="0.35">
      <c r="A8" s="26" t="s">
        <v>51</v>
      </c>
      <c r="B8" s="26">
        <f>INT(B7/100000)</f>
        <v>9</v>
      </c>
      <c r="C8" s="26" t="str">
        <f>IF(B8=0,"",IF(B8&lt;20,CHOOSE(B8+1,"","One","Two","Three","Four","Five","Six","Seven","Eight","Nine","Ten","Eleven","Twelve","Thirteen","Fourteen","Fifteen","Sixteen","Seventeen","Eighteen","Nineteen"),TRIM(CHOOSE(INT(B8/10)-1,"Twenty","Thirty","Forty","Fifty","Sixty","Seventy","Eighty","Ninety")&amp;" "&amp;CHOOSE(MOD(B8,10)+1,"","One","Two","Three","Four","Five","Six","Seven","Eight","Nine"))))</f>
        <v>Nine</v>
      </c>
    </row>
    <row r="9" spans="1:3" ht="14.25" customHeight="1" x14ac:dyDescent="0.35">
      <c r="A9" s="26" t="s">
        <v>52</v>
      </c>
      <c r="B9" s="26">
        <f>MOD(B7,100000)</f>
        <v>66000</v>
      </c>
      <c r="C9" s="26"/>
    </row>
    <row r="10" spans="1:3" ht="14.25" customHeight="1" x14ac:dyDescent="0.35">
      <c r="A10" s="26" t="s">
        <v>53</v>
      </c>
      <c r="B10" s="26">
        <f>INT(B9/1000)</f>
        <v>66</v>
      </c>
      <c r="C10" s="26" t="str">
        <f>IF(B10=0,"",IF(B10&lt;20,CHOOSE(B10+1,"","One","Two","Three","Four","Five","Six","Seven","Eight","Nine","Ten","Eleven","Twelve","Thirteen","Fourteen","Fifteen","Sixteen","Seventeen","Eighteen","Nineteen"),TRIM(CHOOSE(INT(B10/10)-1,"Twenty","Thirty","Forty","Fifty","Sixty","Seventy","Eighty","Ninety")&amp;" "&amp;CHOOSE(MOD(B10,10)+1,"","One","Two","Three","Four","Five","Six","Seven","Eight","Nine"))))</f>
        <v>Sixty Six</v>
      </c>
    </row>
    <row r="11" spans="1:3" ht="14.25" customHeight="1" x14ac:dyDescent="0.35">
      <c r="A11" s="26" t="s">
        <v>54</v>
      </c>
      <c r="B11" s="26">
        <f>MOD(B9,1000)</f>
        <v>0</v>
      </c>
      <c r="C11" s="26" t="str">
        <f>TRIM(IF(INT(B11/100)=0,"",CHOOSE(INT(B11/100)+1,"","One","Two","Three","Four","Five","Six","Seven","Eight","Nine")&amp;" Hundred ")&amp;IF(MOD(B11,100)=0,"",IF(MOD(B11,100)&lt;20,CHOOSE(MOD(B11,100)+1,"","One","Two","Three","Four","Five","Six","Seven","Eight","Nine","Ten","Eleven","Twelve","Thirteen","Fourteen","Fifteen","Sixteen","Seventeen","Eighteen","Nineteen"),TRIM(CHOOSE(INT(MOD(B11,100)/10)-1,"Twenty","Thirty","Forty","Fifty","Sixty","Seventy","Eighty","Ninety")&amp;" "&amp;CHOOSE(MOD(MOD(B11,100),10)+1,"","One","Two","Three","Four","Five","Six","Seven","Eight","Nine")))))</f>
        <v/>
      </c>
    </row>
    <row r="12" spans="1:3" ht="14.25" customHeight="1" x14ac:dyDescent="0.35">
      <c r="A12" s="26"/>
      <c r="B12" s="26"/>
      <c r="C12" s="26"/>
    </row>
    <row r="13" spans="1:3" ht="14.25" customHeight="1" x14ac:dyDescent="0.35">
      <c r="A13" s="26" t="s">
        <v>55</v>
      </c>
      <c r="B13" s="26" t="str">
        <f>IF(B3=0,"Zero Rupees",TRIM(IF(B6&gt;0,C6&amp;" Crore ","")&amp;IF(B8&gt;0,C8&amp;" Lakh ","")&amp;IF(B10&gt;0,C10&amp;" Thousand ","")&amp;IF(B11&gt;0,C11,""))&amp;" Rupees")&amp;IF(B4&gt;0," and "&amp;C4&amp;" Paise","")&amp;" Only"</f>
        <v>Nine Lakh Sixty Six Thousand Rupees Only</v>
      </c>
      <c r="C13" s="26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Tax Invoice</vt:lpstr>
      <vt:lpstr>Sheet1</vt:lpstr>
      <vt:lpstr>'Tax Invoice'!Print_Area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Pramod sharma</cp:lastModifiedBy>
  <cp:revision>0</cp:revision>
  <cp:lastPrinted>2026-08-27T12:33:37Z</cp:lastPrinted>
  <dcterms:created xsi:type="dcterms:W3CDTF">2026-08-27T10:23:32Z</dcterms:created>
  <dcterms:modified xsi:type="dcterms:W3CDTF">2026-09-27T13:09:25Z</dcterms:modified>
  <dc:language>en-US</dc:language>
</cp:coreProperties>
</file>